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pi46vew\Documents\GitHub\P_OO-ShootMeUp-\doc\"/>
    </mc:Choice>
  </mc:AlternateContent>
  <xr:revisionPtr revIDLastSave="0" documentId="13_ncr:1_{527F5977-349B-48C9-A7A1-52DAD7CC32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Journal" sheetId="18" r:id="rId1"/>
  </sheets>
  <definedNames>
    <definedName name="_xlnm.Print_Area" localSheetId="0">Journal!$A$1:$E$51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8" l="1"/>
  <c r="C50" i="18"/>
  <c r="C44" i="18"/>
  <c r="C38" i="18"/>
  <c r="C33" i="18"/>
  <c r="C28" i="18"/>
  <c r="C22" i="18"/>
  <c r="C17" i="18"/>
  <c r="C9" i="18"/>
  <c r="C13" i="18"/>
</calcChain>
</file>

<file path=xl/sharedStrings.xml><?xml version="1.0" encoding="utf-8"?>
<sst xmlns="http://schemas.openxmlformats.org/spreadsheetml/2006/main" count="108" uniqueCount="79">
  <si>
    <t>Apprenti.e</t>
  </si>
  <si>
    <t>Antoni Débaz</t>
  </si>
  <si>
    <t>Durée total (h ou p)</t>
  </si>
  <si>
    <t>Classe ou Groupe</t>
  </si>
  <si>
    <t>Experts </t>
  </si>
  <si>
    <t>-</t>
  </si>
  <si>
    <t>Chef.fe de Projet</t>
  </si>
  <si>
    <t>Bulle / Domaine / Module</t>
  </si>
  <si>
    <t>Sujet </t>
  </si>
  <si>
    <t>Tâches</t>
  </si>
  <si>
    <t>Dates</t>
  </si>
  <si>
    <r>
      <t xml:space="preserve">Durées </t>
    </r>
    <r>
      <rPr>
        <b/>
        <sz val="10"/>
        <rFont val="Century Gothic"/>
        <family val="2"/>
      </rPr>
      <t>[min]</t>
    </r>
  </si>
  <si>
    <t>Explications / Etats</t>
  </si>
  <si>
    <t>Sources, liens, références, commits …</t>
  </si>
  <si>
    <t>Introduction</t>
  </si>
  <si>
    <t>Bilan du jour :</t>
  </si>
  <si>
    <t>Total en heures</t>
  </si>
  <si>
    <t>Introduction au cahier des charges, conventions techniques, project handbook et modalités d'évaluations</t>
  </si>
  <si>
    <t>X.Carrel</t>
  </si>
  <si>
    <t>32 p</t>
  </si>
  <si>
    <t>I320</t>
  </si>
  <si>
    <t>Programmation Orienté Objet</t>
  </si>
  <si>
    <t>Gameplan</t>
  </si>
  <si>
    <t>Journal de travail</t>
  </si>
  <si>
    <t>Installation de GitJournal puis rotation vers un journal de travail excel.</t>
  </si>
  <si>
    <t>Commencé la création d'un gameplan sur paint. Invention du core gameplay et des ennemis/munitions</t>
  </si>
  <si>
    <t>rapport</t>
  </si>
  <si>
    <t>Ecriture des users stories dans le projet Github</t>
  </si>
  <si>
    <t>Ecriture du chapitre Introduction dans le rapport</t>
  </si>
  <si>
    <t>Ecriture du chapitre planification initial dans le rapport</t>
  </si>
  <si>
    <t>github doc P_OO</t>
  </si>
  <si>
    <t>MID2B</t>
  </si>
  <si>
    <t>projet P_OO</t>
  </si>
  <si>
    <t>user stories</t>
  </si>
  <si>
    <t>Ecriture des users stories 8,9,5,6,10 dans le projet Github</t>
  </si>
  <si>
    <t>Découverte du code "Base"</t>
  </si>
  <si>
    <t>Prise de connaissance du code Base</t>
  </si>
  <si>
    <t>Correction du rapport</t>
  </si>
  <si>
    <t>Correction de quelque faute relevé par le prof dans mon rapport et user stories</t>
  </si>
  <si>
    <t>Déplacement</t>
  </si>
  <si>
    <t>Attaque burger</t>
  </si>
  <si>
    <t>Ajout d'un déplacement orthogonale et diagonale pour le joueur. (User Story num 1)</t>
  </si>
  <si>
    <t>Ajout d'un burger sur la carte (User Story num 2)</t>
  </si>
  <si>
    <t>Détection des touches de la souris (User Story num 2)</t>
  </si>
  <si>
    <t>Instantiation du burger sur la carte lors du clique mais pas réussi à ajouter la trajectoire (User Story num 2)</t>
  </si>
  <si>
    <t>Attaque mélée</t>
  </si>
  <si>
    <t>Manager</t>
  </si>
  <si>
    <t>barre de vie</t>
  </si>
  <si>
    <t>barre d'argent</t>
  </si>
  <si>
    <t>Robot</t>
  </si>
  <si>
    <t>Faisceau</t>
  </si>
  <si>
    <t>Obstacle</t>
  </si>
  <si>
    <t>Tests</t>
  </si>
  <si>
    <t>Ecriture des HelpersTests</t>
  </si>
  <si>
    <t>Ecriture de PlayerTests</t>
  </si>
  <si>
    <t>Ecriture de ManagerTests</t>
  </si>
  <si>
    <t>Ecriture de RobotTests</t>
  </si>
  <si>
    <t>Diagramme de classe</t>
  </si>
  <si>
    <t>Création du diagramme de classe sur draw.io</t>
  </si>
  <si>
    <t>Ecriture du chapitre sue le diagramme de classe</t>
  </si>
  <si>
    <t>IA</t>
  </si>
  <si>
    <t>Ecriture du chapitre sur l'utilisation de l'IA</t>
  </si>
  <si>
    <t>Les attauques burger vont en direction de la souris (US 2)</t>
  </si>
  <si>
    <t>Ajout d'un cooldown aux tirs burger (US 2)</t>
  </si>
  <si>
    <t>les burgers sont detruit si ils touches les bords du gamespace (US 2)</t>
  </si>
  <si>
    <t>Ajout d'une attaque d'un mode "mélée" pour le joueur quand il fait une attaque mélée (US 3)</t>
  </si>
  <si>
    <t>Commencer l'ajout d'un enemie de type Manager. Création de la classe et des premiers attributs (US 4)</t>
  </si>
  <si>
    <t>Ajout d'un déplacement aléatoire des managers (US 4)</t>
  </si>
  <si>
    <t>Ajout d'une barre de vie au manager (US 4)</t>
  </si>
  <si>
    <t>Création d'une barre de vie et d un écran de mort quand les PV passe à 0 (US 8)</t>
  </si>
  <si>
    <t>Commencer la création d'une barre d'argent pour pouvoir gagner (US 9)</t>
  </si>
  <si>
    <t>Création d'un ennemi robot en s'inspirant beacoup de l'ennemi manager (US 5)</t>
  </si>
  <si>
    <t>Création d'un faisceau pouvant aller dans les quatres direction (US 6)</t>
  </si>
  <si>
    <t>Fait en sorte que les faisceaux fassent des dégats quand ils touches le joueur et qu'ils soit tirés par les robots (US 6)</t>
  </si>
  <si>
    <t>Commencer la création des obstacles (US 10)</t>
  </si>
  <si>
    <t>Finis la création des obstacles et fait en sorte que les Manager et Robot trouve un nouveau chemin (US 10)</t>
  </si>
  <si>
    <t>Bilan et Conclusion</t>
  </si>
  <si>
    <t>Ecriture des chapitre "Bilan du déroulement du projet" , "Bilan produit", "Conclusion personnelle"</t>
  </si>
  <si>
    <t>Ecriture de 6 tests supplémentaire et rendu du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</si>
</sst>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Century Gothic"/>
      <family val="2"/>
      <scheme val="minor"/>
    </font>
    <font>
      <u/>
      <sz val="10"/>
      <color indexed="12"/>
      <name val="Arial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u/>
      <sz val="10"/>
      <color theme="1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</cellStyleXfs>
  <cellXfs count="66">
    <xf numFmtId="0" fontId="0" fillId="0" borderId="0" xfId="0"/>
    <xf numFmtId="0" fontId="3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inden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3" fillId="0" borderId="4" xfId="1" applyFont="1" applyFill="1" applyBorder="1" applyAlignment="1" applyProtection="1">
      <alignment horizontal="center" vertical="center" wrapText="1"/>
      <protection locked="0"/>
    </xf>
    <xf numFmtId="0" fontId="3" fillId="0" borderId="5" xfId="1" applyFont="1" applyFill="1" applyBorder="1" applyAlignment="1" applyProtection="1">
      <alignment horizontal="center" vertical="center" wrapText="1"/>
      <protection locked="0"/>
    </xf>
    <xf numFmtId="0" fontId="3" fillId="0" borderId="8" xfId="1" applyFont="1" applyFill="1" applyBorder="1" applyAlignment="1" applyProtection="1">
      <alignment horizontal="center" vertical="center" wrapText="1"/>
      <protection locked="0"/>
    </xf>
    <xf numFmtId="0" fontId="5" fillId="3" borderId="8" xfId="0" applyFont="1" applyFill="1" applyBorder="1" applyAlignment="1" applyProtection="1">
      <alignment horizontal="center" vertical="center" wrapText="1"/>
      <protection locked="0"/>
    </xf>
    <xf numFmtId="0" fontId="4" fillId="3" borderId="4" xfId="0" applyFont="1" applyFill="1" applyBorder="1" applyAlignment="1">
      <alignment horizontal="left" vertical="center" wrapText="1" indent="1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1" fillId="0" borderId="4" xfId="1" applyBorder="1" applyAlignment="1" applyProtection="1">
      <alignment horizontal="center" vertical="center" wrapText="1"/>
      <protection locked="0"/>
    </xf>
    <xf numFmtId="0" fontId="1" fillId="0" borderId="5" xfId="1" applyBorder="1" applyAlignment="1" applyProtection="1">
      <alignment horizontal="center" vertical="center" wrapText="1"/>
      <protection locked="0"/>
    </xf>
    <xf numFmtId="0" fontId="1" fillId="0" borderId="8" xfId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vertical="center"/>
    </xf>
    <xf numFmtId="0" fontId="3" fillId="3" borderId="4" xfId="0" applyFont="1" applyFill="1" applyBorder="1" applyAlignment="1" applyProtection="1">
      <alignment vertical="center" wrapText="1"/>
      <protection locked="0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 wrapText="1"/>
      <protection locked="0"/>
    </xf>
    <xf numFmtId="14" fontId="3" fillId="0" borderId="5" xfId="0" applyNumberFormat="1" applyFont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14" fontId="3" fillId="0" borderId="6" xfId="0" applyNumberFormat="1" applyFont="1" applyBorder="1" applyAlignment="1" applyProtection="1">
      <alignment horizontal="center" vertical="center" wrapText="1"/>
      <protection locked="0"/>
    </xf>
    <xf numFmtId="14" fontId="3" fillId="0" borderId="12" xfId="0" applyNumberFormat="1" applyFont="1" applyBorder="1" applyAlignment="1" applyProtection="1">
      <alignment horizontal="center" vertical="center" wrapText="1"/>
      <protection locked="0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11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14" fontId="3" fillId="0" borderId="8" xfId="0" applyNumberFormat="1" applyFont="1" applyBorder="1" applyAlignment="1" applyProtection="1">
      <alignment horizontal="center" vertical="center" wrapText="1"/>
      <protection locked="0"/>
    </xf>
    <xf numFmtId="14" fontId="3" fillId="0" borderId="4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3">
    <cellStyle name="Hyperlink" xfId="2" xr:uid="{00000000-000B-0000-0000-000008000000}"/>
    <cellStyle name="Lien hypertexte" xfId="1" builtinId="8"/>
    <cellStyle name="Normal" xfId="0" builtinId="0" customBuiltin="1"/>
  </cellStyles>
  <dxfs count="0"/>
  <tableStyles count="0" defaultTableStyle="TableStyleMedium9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ust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ustin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94000"/>
                <a:satMod val="114000"/>
                <a:lumMod val="96000"/>
              </a:schemeClr>
            </a:gs>
            <a:gs pos="62000">
              <a:schemeClr val="phClr">
                <a:tint val="92000"/>
                <a:shade val="66000"/>
                <a:satMod val="110000"/>
                <a:lumMod val="80000"/>
              </a:schemeClr>
            </a:gs>
            <a:gs pos="100000">
              <a:schemeClr val="phClr">
                <a:tint val="89000"/>
                <a:shade val="62000"/>
                <a:satMod val="110000"/>
                <a:lumMod val="72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80000"/>
                <a:shade val="58000"/>
              </a:schemeClr>
              <a:schemeClr val="phClr">
                <a:tint val="73000"/>
                <a:shade val="68000"/>
                <a:satMod val="15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github.com/AntoDeba/P_OO-ShootMeUp/tree/main/doc" TargetMode="External"/><Relationship Id="rId7" Type="http://schemas.openxmlformats.org/officeDocument/2006/relationships/hyperlink" Target="https://github.com/users/AntoDeba/projects/9/views/1?pane=issue&amp;itemId=240978829&amp;issue=AntoDeba%7CP_OO-ShootMeUp%7C10" TargetMode="External"/><Relationship Id="rId2" Type="http://schemas.openxmlformats.org/officeDocument/2006/relationships/hyperlink" Target="https://github.com/AntoDeba/P_OO-ShootMeUp/tree/main/doc" TargetMode="External"/><Relationship Id="rId1" Type="http://schemas.openxmlformats.org/officeDocument/2006/relationships/hyperlink" Target="https://github.com/AntoDeba/P_OO-ShootMeUp/tree/main/doc" TargetMode="External"/><Relationship Id="rId6" Type="http://schemas.openxmlformats.org/officeDocument/2006/relationships/hyperlink" Target="https://github.com/users/AntoDeba/projects/9/views/1?pane=issue&amp;itemId=240978829&amp;issue=AntoDeba%7CP_OO-ShootMeUp%7C10" TargetMode="External"/><Relationship Id="rId5" Type="http://schemas.openxmlformats.org/officeDocument/2006/relationships/hyperlink" Target="https://github.com/AntoDeba/P_OO-ShootMeUp/tree/main/doc" TargetMode="External"/><Relationship Id="rId4" Type="http://schemas.openxmlformats.org/officeDocument/2006/relationships/hyperlink" Target="https://github.com/AntoDeba/P_OO-ShootMeUp/tree/main/doc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9B11-3078-4C32-9318-C5231A58CF27}">
  <sheetPr>
    <pageSetUpPr fitToPage="1"/>
  </sheetPr>
  <dimension ref="A1:E51"/>
  <sheetViews>
    <sheetView tabSelected="1" view="pageBreakPreview" zoomScaleNormal="100" zoomScaleSheetLayoutView="100" workbookViewId="0">
      <pane ySplit="5" topLeftCell="A37" activePane="bottomLeft" state="frozen"/>
      <selection activeCell="A2" sqref="A2"/>
      <selection pane="bottomLeft" activeCell="D59" sqref="D59"/>
    </sheetView>
  </sheetViews>
  <sheetFormatPr baseColWidth="10" defaultColWidth="11.42578125" defaultRowHeight="13.5" x14ac:dyDescent="0.25"/>
  <cols>
    <col min="1" max="1" width="33" style="1" customWidth="1"/>
    <col min="2" max="3" width="14.7109375" style="1" customWidth="1"/>
    <col min="4" max="4" width="108.28515625" style="1" customWidth="1"/>
    <col min="5" max="5" width="50.7109375" style="1" customWidth="1"/>
    <col min="6" max="6" width="19.5703125" style="1" customWidth="1"/>
    <col min="7" max="7" width="36" style="1" customWidth="1"/>
    <col min="8" max="16384" width="11.42578125" style="1"/>
  </cols>
  <sheetData>
    <row r="1" spans="1:5" ht="21" customHeight="1" x14ac:dyDescent="0.25">
      <c r="A1" s="7" t="s">
        <v>0</v>
      </c>
      <c r="B1" s="54" t="s">
        <v>1</v>
      </c>
      <c r="C1" s="54"/>
      <c r="D1" s="8" t="s">
        <v>2</v>
      </c>
      <c r="E1" s="6" t="s">
        <v>19</v>
      </c>
    </row>
    <row r="2" spans="1:5" ht="21" customHeight="1" thickBot="1" x14ac:dyDescent="0.3">
      <c r="A2" s="7" t="s">
        <v>3</v>
      </c>
      <c r="B2" s="54" t="s">
        <v>31</v>
      </c>
      <c r="C2" s="54"/>
      <c r="D2" s="8" t="s">
        <v>4</v>
      </c>
      <c r="E2" s="6" t="s">
        <v>5</v>
      </c>
    </row>
    <row r="3" spans="1:5" ht="21" customHeight="1" thickBot="1" x14ac:dyDescent="0.3">
      <c r="A3" s="7" t="s">
        <v>6</v>
      </c>
      <c r="B3" s="54" t="s">
        <v>18</v>
      </c>
      <c r="C3" s="54"/>
      <c r="D3" s="8" t="s">
        <v>7</v>
      </c>
      <c r="E3" s="5" t="s">
        <v>20</v>
      </c>
    </row>
    <row r="4" spans="1:5" ht="21" customHeight="1" thickBot="1" x14ac:dyDescent="0.3">
      <c r="A4" s="15" t="s">
        <v>8</v>
      </c>
      <c r="B4" s="55" t="s">
        <v>21</v>
      </c>
      <c r="C4" s="56"/>
      <c r="D4" s="56"/>
      <c r="E4" s="57"/>
    </row>
    <row r="5" spans="1:5" ht="21" customHeight="1" thickBot="1" x14ac:dyDescent="0.3">
      <c r="A5" s="39" t="s">
        <v>9</v>
      </c>
      <c r="B5" s="40" t="s">
        <v>10</v>
      </c>
      <c r="C5" s="40" t="s">
        <v>11</v>
      </c>
      <c r="D5" s="40" t="s">
        <v>12</v>
      </c>
      <c r="E5" s="41" t="s">
        <v>13</v>
      </c>
    </row>
    <row r="6" spans="1:5" ht="18" customHeight="1" x14ac:dyDescent="0.25">
      <c r="A6" s="11" t="s">
        <v>14</v>
      </c>
      <c r="B6" s="47">
        <v>45894</v>
      </c>
      <c r="C6" s="17">
        <v>90</v>
      </c>
      <c r="D6" s="19" t="s">
        <v>17</v>
      </c>
      <c r="E6" s="22" t="s">
        <v>30</v>
      </c>
    </row>
    <row r="7" spans="1:5" ht="18" customHeight="1" x14ac:dyDescent="0.25">
      <c r="A7" s="12" t="s">
        <v>22</v>
      </c>
      <c r="B7" s="58"/>
      <c r="C7" s="9">
        <v>45</v>
      </c>
      <c r="D7" s="20" t="s">
        <v>25</v>
      </c>
      <c r="E7" s="23" t="s">
        <v>30</v>
      </c>
    </row>
    <row r="8" spans="1:5" ht="18" customHeight="1" thickBot="1" x14ac:dyDescent="0.3">
      <c r="A8" s="13" t="s">
        <v>23</v>
      </c>
      <c r="B8" s="59"/>
      <c r="C8" s="16">
        <v>45</v>
      </c>
      <c r="D8" s="21" t="s">
        <v>24</v>
      </c>
      <c r="E8" s="24" t="s">
        <v>30</v>
      </c>
    </row>
    <row r="9" spans="1:5" ht="18" customHeight="1" thickBot="1" x14ac:dyDescent="0.3">
      <c r="A9" s="14" t="s">
        <v>15</v>
      </c>
      <c r="B9" s="18"/>
      <c r="C9" s="25">
        <f>SUM(C6:C8)</f>
        <v>180</v>
      </c>
      <c r="D9" s="18"/>
      <c r="E9" s="18"/>
    </row>
    <row r="10" spans="1:5" ht="18" customHeight="1" x14ac:dyDescent="0.25">
      <c r="A10" s="11" t="s">
        <v>26</v>
      </c>
      <c r="B10" s="51">
        <v>46269</v>
      </c>
      <c r="C10" s="17">
        <v>45</v>
      </c>
      <c r="D10" s="19" t="s">
        <v>28</v>
      </c>
      <c r="E10" s="22" t="s">
        <v>30</v>
      </c>
    </row>
    <row r="11" spans="1:5" ht="18" customHeight="1" x14ac:dyDescent="0.25">
      <c r="A11" s="12" t="s">
        <v>26</v>
      </c>
      <c r="B11" s="52"/>
      <c r="C11" s="9">
        <v>120</v>
      </c>
      <c r="D11" s="20" t="s">
        <v>27</v>
      </c>
      <c r="E11" s="23" t="s">
        <v>32</v>
      </c>
    </row>
    <row r="12" spans="1:5" ht="18" customHeight="1" thickBot="1" x14ac:dyDescent="0.3">
      <c r="A12" s="13" t="s">
        <v>26</v>
      </c>
      <c r="B12" s="53"/>
      <c r="C12" s="16">
        <v>15</v>
      </c>
      <c r="D12" s="21" t="s">
        <v>29</v>
      </c>
      <c r="E12" s="24" t="s">
        <v>30</v>
      </c>
    </row>
    <row r="13" spans="1:5" ht="16.5" customHeight="1" thickBot="1" x14ac:dyDescent="0.3">
      <c r="A13" s="10" t="s">
        <v>15</v>
      </c>
      <c r="B13" s="18"/>
      <c r="C13" s="25">
        <f>SUM(C10:C12)</f>
        <v>180</v>
      </c>
      <c r="D13" s="18"/>
      <c r="E13" s="18"/>
    </row>
    <row r="14" spans="1:5" x14ac:dyDescent="0.25">
      <c r="A14" s="11" t="s">
        <v>33</v>
      </c>
      <c r="B14" s="47">
        <v>46276</v>
      </c>
      <c r="C14" s="17">
        <v>60</v>
      </c>
      <c r="D14" s="26" t="s">
        <v>34</v>
      </c>
      <c r="E14" s="22" t="s">
        <v>32</v>
      </c>
    </row>
    <row r="15" spans="1:5" ht="18" customHeight="1" x14ac:dyDescent="0.25">
      <c r="A15" s="28" t="s">
        <v>37</v>
      </c>
      <c r="B15" s="48"/>
      <c r="C15" s="28">
        <v>20</v>
      </c>
      <c r="D15" s="1" t="s">
        <v>38</v>
      </c>
      <c r="E15" s="23"/>
    </row>
    <row r="16" spans="1:5" ht="18" customHeight="1" thickBot="1" x14ac:dyDescent="0.3">
      <c r="A16" s="12" t="s">
        <v>35</v>
      </c>
      <c r="B16" s="48"/>
      <c r="C16" s="9">
        <v>10</v>
      </c>
      <c r="D16" s="27" t="s">
        <v>36</v>
      </c>
      <c r="E16" s="23"/>
    </row>
    <row r="17" spans="1:5" ht="18" customHeight="1" thickBot="1" x14ac:dyDescent="0.3">
      <c r="A17" s="10" t="s">
        <v>15</v>
      </c>
      <c r="B17" s="33"/>
      <c r="C17" s="25">
        <f>SUM(C14:C16)</f>
        <v>90</v>
      </c>
      <c r="D17" s="18"/>
      <c r="E17" s="18"/>
    </row>
    <row r="18" spans="1:5" ht="18" customHeight="1" x14ac:dyDescent="0.25">
      <c r="A18" s="11" t="s">
        <v>39</v>
      </c>
      <c r="B18" s="47">
        <v>46283</v>
      </c>
      <c r="C18" s="29">
        <v>50</v>
      </c>
      <c r="D18" s="19" t="s">
        <v>41</v>
      </c>
      <c r="E18" s="22"/>
    </row>
    <row r="19" spans="1:5" ht="18" customHeight="1" x14ac:dyDescent="0.25">
      <c r="A19" s="28" t="s">
        <v>40</v>
      </c>
      <c r="B19" s="48"/>
      <c r="C19" s="30">
        <v>40</v>
      </c>
      <c r="D19" s="32" t="s">
        <v>42</v>
      </c>
      <c r="E19" s="23"/>
    </row>
    <row r="20" spans="1:5" ht="18" customHeight="1" x14ac:dyDescent="0.25">
      <c r="A20" s="12" t="s">
        <v>40</v>
      </c>
      <c r="B20" s="48"/>
      <c r="C20" s="31">
        <v>30</v>
      </c>
      <c r="D20" s="20" t="s">
        <v>43</v>
      </c>
      <c r="E20" s="23"/>
    </row>
    <row r="21" spans="1:5" ht="18" customHeight="1" thickBot="1" x14ac:dyDescent="0.3">
      <c r="A21" s="12" t="s">
        <v>40</v>
      </c>
      <c r="B21" s="48"/>
      <c r="C21" s="30">
        <v>60</v>
      </c>
      <c r="D21" s="32" t="s">
        <v>44</v>
      </c>
      <c r="E21" s="32"/>
    </row>
    <row r="22" spans="1:5" ht="18" customHeight="1" thickBot="1" x14ac:dyDescent="0.3">
      <c r="A22" s="10" t="s">
        <v>15</v>
      </c>
      <c r="B22" s="18"/>
      <c r="C22" s="25">
        <f>SUM(C18:C21)</f>
        <v>180</v>
      </c>
      <c r="D22" s="18"/>
      <c r="E22" s="18"/>
    </row>
    <row r="23" spans="1:5" ht="18" customHeight="1" x14ac:dyDescent="0.25">
      <c r="A23" s="11" t="s">
        <v>40</v>
      </c>
      <c r="B23" s="47">
        <v>46290</v>
      </c>
      <c r="C23" s="17">
        <v>45</v>
      </c>
      <c r="D23" s="19" t="s">
        <v>62</v>
      </c>
      <c r="E23" s="22"/>
    </row>
    <row r="24" spans="1:5" ht="18" customHeight="1" x14ac:dyDescent="0.25">
      <c r="A24" s="28" t="s">
        <v>40</v>
      </c>
      <c r="B24" s="48"/>
      <c r="C24" s="28">
        <v>20</v>
      </c>
      <c r="D24" s="32" t="s">
        <v>63</v>
      </c>
      <c r="E24" s="23"/>
    </row>
    <row r="25" spans="1:5" ht="18" customHeight="1" x14ac:dyDescent="0.25">
      <c r="A25" s="12" t="s">
        <v>40</v>
      </c>
      <c r="B25" s="48"/>
      <c r="C25" s="9">
        <v>25</v>
      </c>
      <c r="D25" s="20" t="s">
        <v>64</v>
      </c>
      <c r="E25" s="23"/>
    </row>
    <row r="26" spans="1:5" ht="18" customHeight="1" x14ac:dyDescent="0.25">
      <c r="A26" s="12" t="s">
        <v>45</v>
      </c>
      <c r="B26" s="48"/>
      <c r="C26" s="28">
        <v>60</v>
      </c>
      <c r="D26" s="32" t="s">
        <v>65</v>
      </c>
      <c r="E26" s="32"/>
    </row>
    <row r="27" spans="1:5" ht="18" customHeight="1" thickBot="1" x14ac:dyDescent="0.3">
      <c r="A27" s="28" t="s">
        <v>46</v>
      </c>
      <c r="B27" s="60"/>
      <c r="C27" s="34">
        <v>30</v>
      </c>
      <c r="D27" s="35" t="s">
        <v>66</v>
      </c>
      <c r="E27" s="34"/>
    </row>
    <row r="28" spans="1:5" ht="18" customHeight="1" thickBot="1" x14ac:dyDescent="0.3">
      <c r="A28" s="10" t="s">
        <v>15</v>
      </c>
      <c r="B28" s="18"/>
      <c r="C28" s="25">
        <f>SUM(C23:C27)</f>
        <v>180</v>
      </c>
      <c r="D28" s="18"/>
      <c r="E28" s="18"/>
    </row>
    <row r="29" spans="1:5" ht="18" customHeight="1" x14ac:dyDescent="0.25">
      <c r="A29" s="38" t="s">
        <v>46</v>
      </c>
      <c r="B29" s="61">
        <v>46297</v>
      </c>
      <c r="C29" s="38">
        <v>45</v>
      </c>
      <c r="D29" s="36" t="s">
        <v>67</v>
      </c>
      <c r="E29" s="36"/>
    </row>
    <row r="30" spans="1:5" ht="18" customHeight="1" x14ac:dyDescent="0.25">
      <c r="A30" s="28" t="s">
        <v>46</v>
      </c>
      <c r="B30" s="62"/>
      <c r="C30" s="28">
        <v>45</v>
      </c>
      <c r="D30" s="32" t="s">
        <v>68</v>
      </c>
      <c r="E30" s="32"/>
    </row>
    <row r="31" spans="1:5" ht="18" customHeight="1" x14ac:dyDescent="0.25">
      <c r="A31" s="28" t="s">
        <v>47</v>
      </c>
      <c r="B31" s="62"/>
      <c r="C31" s="28">
        <v>60</v>
      </c>
      <c r="D31" s="32" t="s">
        <v>69</v>
      </c>
      <c r="E31" s="32"/>
    </row>
    <row r="32" spans="1:5" ht="18" customHeight="1" thickBot="1" x14ac:dyDescent="0.3">
      <c r="A32" s="28" t="s">
        <v>48</v>
      </c>
      <c r="B32" s="63"/>
      <c r="C32" s="28">
        <v>30</v>
      </c>
      <c r="D32" s="32" t="s">
        <v>70</v>
      </c>
      <c r="E32" s="32"/>
    </row>
    <row r="33" spans="1:5" ht="18" customHeight="1" thickBot="1" x14ac:dyDescent="0.3">
      <c r="A33" s="10" t="s">
        <v>15</v>
      </c>
      <c r="B33" s="18"/>
      <c r="C33" s="25">
        <f>SUM(C29:C32)</f>
        <v>180</v>
      </c>
      <c r="D33" s="18"/>
      <c r="E33" s="18"/>
    </row>
    <row r="34" spans="1:5" ht="18" customHeight="1" x14ac:dyDescent="0.25">
      <c r="A34" s="38" t="s">
        <v>49</v>
      </c>
      <c r="B34" s="61">
        <v>46304</v>
      </c>
      <c r="C34" s="38">
        <v>60</v>
      </c>
      <c r="D34" s="36" t="s">
        <v>71</v>
      </c>
      <c r="E34" s="36"/>
    </row>
    <row r="35" spans="1:5" ht="18" customHeight="1" x14ac:dyDescent="0.25">
      <c r="A35" s="28" t="s">
        <v>50</v>
      </c>
      <c r="B35" s="64"/>
      <c r="C35" s="28">
        <v>50</v>
      </c>
      <c r="D35" s="32" t="s">
        <v>72</v>
      </c>
      <c r="E35" s="32"/>
    </row>
    <row r="36" spans="1:5" ht="18" customHeight="1" x14ac:dyDescent="0.25">
      <c r="A36" s="28" t="s">
        <v>50</v>
      </c>
      <c r="B36" s="64"/>
      <c r="C36" s="28">
        <v>45</v>
      </c>
      <c r="D36" s="32" t="s">
        <v>73</v>
      </c>
      <c r="E36" s="32"/>
    </row>
    <row r="37" spans="1:5" ht="18" customHeight="1" thickBot="1" x14ac:dyDescent="0.3">
      <c r="A37" s="34" t="s">
        <v>51</v>
      </c>
      <c r="B37" s="65"/>
      <c r="C37" s="34">
        <v>25</v>
      </c>
      <c r="D37" s="1" t="s">
        <v>74</v>
      </c>
      <c r="E37" s="37"/>
    </row>
    <row r="38" spans="1:5" ht="18" customHeight="1" thickBot="1" x14ac:dyDescent="0.3">
      <c r="A38" s="10" t="s">
        <v>15</v>
      </c>
      <c r="B38" s="18"/>
      <c r="C38" s="25">
        <f>SUM(C34:C37)</f>
        <v>180</v>
      </c>
      <c r="D38" s="18"/>
      <c r="E38" s="18"/>
    </row>
    <row r="39" spans="1:5" ht="18" customHeight="1" x14ac:dyDescent="0.25">
      <c r="A39" s="43" t="s">
        <v>51</v>
      </c>
      <c r="B39" s="61">
        <v>46318</v>
      </c>
      <c r="C39" s="38">
        <v>60</v>
      </c>
      <c r="D39" s="36" t="s">
        <v>75</v>
      </c>
      <c r="E39" s="36"/>
    </row>
    <row r="40" spans="1:5" ht="18" customHeight="1" x14ac:dyDescent="0.25">
      <c r="A40" s="44" t="s">
        <v>52</v>
      </c>
      <c r="B40" s="62"/>
      <c r="C40" s="28">
        <v>20</v>
      </c>
      <c r="D40" s="32" t="s">
        <v>53</v>
      </c>
      <c r="E40" s="32"/>
    </row>
    <row r="41" spans="1:5" ht="18" customHeight="1" x14ac:dyDescent="0.25">
      <c r="A41" s="44" t="s">
        <v>52</v>
      </c>
      <c r="B41" s="62"/>
      <c r="C41" s="28">
        <v>40</v>
      </c>
      <c r="D41" s="32" t="s">
        <v>54</v>
      </c>
      <c r="E41" s="32"/>
    </row>
    <row r="42" spans="1:5" ht="18" customHeight="1" x14ac:dyDescent="0.25">
      <c r="A42" s="44" t="s">
        <v>52</v>
      </c>
      <c r="B42" s="62"/>
      <c r="C42" s="28">
        <v>30</v>
      </c>
      <c r="D42" s="32" t="s">
        <v>55</v>
      </c>
      <c r="E42" s="32"/>
    </row>
    <row r="43" spans="1:5" ht="18" customHeight="1" thickBot="1" x14ac:dyDescent="0.3">
      <c r="A43" s="42" t="s">
        <v>52</v>
      </c>
      <c r="B43" s="63"/>
      <c r="C43" s="34">
        <v>30</v>
      </c>
      <c r="D43" s="37" t="s">
        <v>56</v>
      </c>
      <c r="E43" s="37"/>
    </row>
    <row r="44" spans="1:5" ht="18" customHeight="1" thickBot="1" x14ac:dyDescent="0.3">
      <c r="A44" s="10" t="s">
        <v>15</v>
      </c>
      <c r="B44" s="18"/>
      <c r="C44" s="45">
        <f>SUM(C39:C43)</f>
        <v>180</v>
      </c>
      <c r="D44" s="46"/>
      <c r="E44" s="46"/>
    </row>
    <row r="45" spans="1:5" ht="18" customHeight="1" x14ac:dyDescent="0.25">
      <c r="A45" s="43" t="s">
        <v>57</v>
      </c>
      <c r="B45" s="61">
        <v>46325</v>
      </c>
      <c r="C45" s="38">
        <v>50</v>
      </c>
      <c r="D45" s="36" t="s">
        <v>58</v>
      </c>
      <c r="E45" s="36"/>
    </row>
    <row r="46" spans="1:5" ht="18" customHeight="1" x14ac:dyDescent="0.25">
      <c r="A46" s="44" t="s">
        <v>57</v>
      </c>
      <c r="B46" s="62"/>
      <c r="C46" s="28">
        <v>40</v>
      </c>
      <c r="D46" s="32" t="s">
        <v>59</v>
      </c>
      <c r="E46" s="32"/>
    </row>
    <row r="47" spans="1:5" ht="21" customHeight="1" x14ac:dyDescent="0.25">
      <c r="A47" s="44" t="s">
        <v>60</v>
      </c>
      <c r="B47" s="62"/>
      <c r="C47" s="28">
        <v>60</v>
      </c>
      <c r="D47" s="32" t="s">
        <v>61</v>
      </c>
      <c r="E47" s="32"/>
    </row>
    <row r="48" spans="1:5" x14ac:dyDescent="0.25">
      <c r="A48" s="44" t="s">
        <v>76</v>
      </c>
      <c r="B48" s="62"/>
      <c r="C48" s="28">
        <v>60</v>
      </c>
      <c r="D48" s="32" t="s">
        <v>77</v>
      </c>
      <c r="E48" s="32"/>
    </row>
    <row r="49" spans="1:5" ht="14.25" thickBot="1" x14ac:dyDescent="0.3">
      <c r="A49" s="42" t="s">
        <v>52</v>
      </c>
      <c r="B49" s="63"/>
      <c r="C49" s="34">
        <v>60</v>
      </c>
      <c r="D49" s="37" t="s">
        <v>78</v>
      </c>
      <c r="E49" s="37"/>
    </row>
    <row r="50" spans="1:5" ht="14.25" thickBot="1" x14ac:dyDescent="0.3">
      <c r="A50" s="10" t="s">
        <v>15</v>
      </c>
      <c r="B50" s="18"/>
      <c r="C50" s="45">
        <f>SUM(C45:C49)</f>
        <v>270</v>
      </c>
      <c r="D50" s="46"/>
      <c r="E50" s="46"/>
    </row>
    <row r="51" spans="1:5" ht="15.75" thickBot="1" x14ac:dyDescent="0.3">
      <c r="A51" s="49" t="s">
        <v>16</v>
      </c>
      <c r="B51" s="50"/>
      <c r="C51" s="2">
        <f>MROUND(SUM(C9,C13,C17,C22,C28,C33,C38,C44,C50) /60,0.2)</f>
        <v>27</v>
      </c>
      <c r="D51" s="3"/>
      <c r="E51" s="4"/>
    </row>
  </sheetData>
  <mergeCells count="14">
    <mergeCell ref="B14:B16"/>
    <mergeCell ref="A51:B51"/>
    <mergeCell ref="B10:B12"/>
    <mergeCell ref="B1:C1"/>
    <mergeCell ref="B2:C2"/>
    <mergeCell ref="B3:C3"/>
    <mergeCell ref="B4:E4"/>
    <mergeCell ref="B6:B8"/>
    <mergeCell ref="B18:B21"/>
    <mergeCell ref="B23:B27"/>
    <mergeCell ref="B29:B32"/>
    <mergeCell ref="B34:B37"/>
    <mergeCell ref="B39:B43"/>
    <mergeCell ref="B45:B49"/>
  </mergeCells>
  <dataValidations count="1">
    <dataValidation type="whole" operator="greaterThan" allowBlank="1" showInputMessage="1" showErrorMessage="1" errorTitle="Durée par tranche de 10min" error="Le nombre doit être de type entier" sqref="B6 C6:C8 B10 C10:C12 C16 B14:C14 C20 B18:C18 C25 B23:C23" xr:uid="{345ABA8F-B69F-4AFC-9D0E-D2AB0ACDE277}">
      <formula1>0</formula1>
    </dataValidation>
  </dataValidations>
  <hyperlinks>
    <hyperlink ref="E8" r:id="rId1" xr:uid="{275F9030-7E94-44FA-A7D6-B4F673D98F13}"/>
    <hyperlink ref="E10" r:id="rId2" xr:uid="{966E8E29-D905-4447-A9DB-EB329198F989}"/>
    <hyperlink ref="E7" r:id="rId3" xr:uid="{0B7914AF-AD3B-41DB-B0A0-11394DCCB3C2}"/>
    <hyperlink ref="E6" r:id="rId4" xr:uid="{E03124A8-1F2B-48D7-B6CA-5B37E7D01F3C}"/>
    <hyperlink ref="E12" r:id="rId5" xr:uid="{335585FC-0447-4C05-B123-6F458771495A}"/>
    <hyperlink ref="E11" r:id="rId6" xr:uid="{3E1620A4-D69C-41AE-9BF1-38B41484B637}"/>
    <hyperlink ref="E14" r:id="rId7" xr:uid="{8ED2937A-5238-4FAF-83F2-4DF75BCBD4C3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43" orientation="portrait" r:id="rId8"/>
  <headerFooter>
    <oddHeader>&amp;L&amp;"Etml_font,Normal"&amp;22ETML&amp;R&amp;G</oddHeader>
    <oddFooter>&amp;L&amp;14&amp;D&amp;R&amp;14Journal</oddFooter>
  </headerFooter>
  <legacyDrawingHF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56f79f-5386-4bda-9d92-82d8bd7b074e" xsi:nil="true"/>
    <lcf76f155ced4ddcb4097134ff3c332f xmlns="3eb094ff-ec8d-44d8-be06-94ad3ec8832a">
      <Terms xmlns="http://schemas.microsoft.com/office/infopath/2007/PartnerControls"/>
    </lcf76f155ced4ddcb4097134ff3c332f>
    <TrierparNombre xmlns="3eb094ff-ec8d-44d8-be06-94ad3ec883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C931FEC57CD24D841BB655C8BA0DFF" ma:contentTypeVersion="14" ma:contentTypeDescription="Crée un document." ma:contentTypeScope="" ma:versionID="f47e485f4ad8d247f3dfedaee1362e95">
  <xsd:schema xmlns:xsd="http://www.w3.org/2001/XMLSchema" xmlns:xs="http://www.w3.org/2001/XMLSchema" xmlns:p="http://schemas.microsoft.com/office/2006/metadata/properties" xmlns:ns2="3eb094ff-ec8d-44d8-be06-94ad3ec8832a" xmlns:ns3="4356f79f-5386-4bda-9d92-82d8bd7b074e" targetNamespace="http://schemas.microsoft.com/office/2006/metadata/properties" ma:root="true" ma:fieldsID="da34bf24383b1ce13aa9c82f6b8627bb" ns2:_="" ns3:_="">
    <xsd:import namespace="3eb094ff-ec8d-44d8-be06-94ad3ec8832a"/>
    <xsd:import namespace="4356f79f-5386-4bda-9d92-82d8bd7b0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TrierparNombr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094ff-ec8d-44d8-be06-94ad3ec883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TrierparNombre" ma:index="20" nillable="true" ma:displayName="Trier par Nombre" ma:format="Dropdown" ma:internalName="TrierparNombre" ma:percentage="FALSE">
      <xsd:simpleType>
        <xsd:restriction base="dms:Number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6f79f-5386-4bda-9d92-82d8bd7b07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d9f543-e2bd-4fe6-b9a6-97a4976c5506}" ma:internalName="TaxCatchAll" ma:showField="CatchAllData" ma:web="4356f79f-5386-4bda-9d92-82d8bd7b07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568DEC-920F-4A54-AD30-257A3312E4FF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4356f79f-5386-4bda-9d92-82d8bd7b074e"/>
    <ds:schemaRef ds:uri="http://purl.org/dc/elements/1.1/"/>
    <ds:schemaRef ds:uri="3eb094ff-ec8d-44d8-be06-94ad3ec8832a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A40649F-4D7C-4B62-9A51-E0A7D9450E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b094ff-ec8d-44d8-be06-94ad3ec8832a"/>
    <ds:schemaRef ds:uri="4356f79f-5386-4bda-9d92-82d8bd7b07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BCAAC0-9C03-42D2-8685-2E30F60CCB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Journal</vt:lpstr>
      <vt:lpstr>Journal!Zone_d_impression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JNLTRAV</dc:title>
  <dc:subject>Journal de travail</dc:subject>
  <dc:creator>Dimitri Lymberis</dc:creator>
  <cp:keywords/>
  <dc:description/>
  <cp:lastModifiedBy>Antoni Débaz</cp:lastModifiedBy>
  <cp:revision/>
  <cp:lastPrinted>2026-10-09T14:36:49Z</cp:lastPrinted>
  <dcterms:created xsi:type="dcterms:W3CDTF">1996-10-21T11:03:58Z</dcterms:created>
  <dcterms:modified xsi:type="dcterms:W3CDTF">2026-10-30T15:31:29Z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0x01010051C931FEC57CD24D841BB655C8BA0DFF</vt:lpwstr>
  </property>
  <property fmtid="{D5CDD505-2E9C-101B-9397-08002B2CF9AE}" pid="3" name="Order">
    <vt:r8>195700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